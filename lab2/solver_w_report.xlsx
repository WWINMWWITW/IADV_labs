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sitivity Report" sheetId="1" state="visible" r:id="rId3"/>
    <sheet name="Answer Report" sheetId="2" state="visible" r:id="rId4"/>
    <sheet name="Sheet1" sheetId="3" state="visible" r:id="rId5"/>
  </sheets>
  <definedNames>
    <definedName function="false" hidden="true" localSheetId="0" name="solver_eng" vbProcedure="false">0</definedName>
    <definedName function="false" hidden="true" localSheetId="1" name="solver_eng" vbProcedure="false">0</definedName>
    <definedName function="false" hidden="true" localSheetId="2" name="solver_acr" vbProcedure="false">0</definedName>
    <definedName function="false" hidden="true" localSheetId="2" name="solver_adj" vbProcedure="false">Sheet1!$B$7:$E$7</definedName>
    <definedName function="false" hidden="true" localSheetId="2" name="solver_asr" vbProcedure="false">0.5</definedName>
    <definedName function="false" hidden="true" localSheetId="2" name="solver_bbd" vbProcedure="false">1</definedName>
    <definedName function="false" hidden="true" localSheetId="2" name="solver_ccoeff" vbProcedure="false">0.729</definedName>
    <definedName function="false" hidden="true" localSheetId="2" name="solver_cog" vbProcedure="false">1.494</definedName>
    <definedName function="false" hidden="true" localSheetId="2" name="solver_crpb" vbProcedure="false">0.9</definedName>
    <definedName function="false" hidden="true" localSheetId="2" name="solver_eng" vbProcedure="false">2</definedName>
    <definedName function="false" hidden="true" localSheetId="2" name="solver_enst" vbProcedure="false">1</definedName>
    <definedName function="false" hidden="true" localSheetId="2" name="solver_eps" vbProcedure="false">0</definedName>
    <definedName function="false" hidden="true" localSheetId="2" name="solver_gvr" vbProcedure="false">1</definedName>
    <definedName function="false" hidden="true" localSheetId="2" name="solver_int" vbProcedure="false">0</definedName>
    <definedName function="false" hidden="true" localSheetId="2" name="solver_lbsz" vbProcedure="false">210</definedName>
    <definedName function="false" hidden="true" localSheetId="2" name="solver_lcy" vbProcedure="false">2000</definedName>
    <definedName function="false" hidden="true" localSheetId="2" name="solver_lhs1" vbProcedure="false">Sheet1!$L$12</definedName>
    <definedName function="false" hidden="true" localSheetId="2" name="solver_lhs2" vbProcedure="false">Sheet1!$L$13</definedName>
    <definedName function="false" hidden="true" localSheetId="2" name="solver_lhs3" vbProcedure="false">Sheet1!$L$14</definedName>
    <definedName function="false" hidden="true" localSheetId="2" name="solver_lhs4" vbProcedure="false">Sheet1!$L$15</definedName>
    <definedName function="false" hidden="true" localSheetId="2" name="solver_lhs5" vbProcedure="false">Sheet1!$L$16</definedName>
    <definedName function="false" hidden="true" localSheetId="2" name="solver_lo_eng" vbProcedure="false">"com.sun.star.comp.Calc.CoinMPSolver"</definedName>
    <definedName function="false" hidden="true" localSheetId="2" name="solver_mtpb" vbProcedure="false">0</definedName>
    <definedName function="false" hidden="true" localSheetId="2" name="solver_neg" vbProcedure="false">1</definedName>
    <definedName function="false" hidden="true" localSheetId="2" name="solver_num" vbProcedure="false">5</definedName>
    <definedName function="false" hidden="true" localSheetId="2" name="solver_opt" vbProcedure="false">Sheet1!$B$12</definedName>
    <definedName function="false" hidden="true" localSheetId="2" name="solver_prng" vbProcedure="false">0</definedName>
    <definedName function="false" hidden="true" localSheetId="2" name="solver_rel1" vbProcedure="false">1</definedName>
    <definedName function="false" hidden="true" localSheetId="2" name="solver_rel2" vbProcedure="false">1</definedName>
    <definedName function="false" hidden="true" localSheetId="2" name="solver_rel3" vbProcedure="false">1</definedName>
    <definedName function="false" hidden="true" localSheetId="2" name="solver_rel4" vbProcedure="false">1</definedName>
    <definedName function="false" hidden="true" localSheetId="2" name="solver_rel5" vbProcedure="false">1</definedName>
    <definedName function="false" hidden="true" localSheetId="2" name="solver_rhs1" vbProcedure="false">Sheet1!$N$12</definedName>
    <definedName function="false" hidden="true" localSheetId="2" name="solver_rhs2" vbProcedure="false">Sheet1!$N$13</definedName>
    <definedName function="false" hidden="true" localSheetId="2" name="solver_rhs3" vbProcedure="false">Sheet1!$N$14</definedName>
    <definedName function="false" hidden="true" localSheetId="2" name="solver_rhs4" vbProcedure="false">Sheet1!$N$15</definedName>
    <definedName function="false" hidden="true" localSheetId="2" name="solver_rhs5" vbProcedure="false">Sheet1!$N$16</definedName>
    <definedName function="false" hidden="true" localSheetId="2" name="solver_rsp" vbProcedure="false">0</definedName>
    <definedName function="false" hidden="true" localSheetId="2" name="solver_slim" vbProcedure="false">70</definedName>
    <definedName function="false" hidden="true" localSheetId="2" name="solver_smax" vbProcedure="false">0.5</definedName>
    <definedName function="false" hidden="true" localSheetId="2" name="solver_smin" vbProcedure="false">0.5</definedName>
    <definedName function="false" hidden="true" localSheetId="2" name="solver_soc" vbProcedure="false">1.494</definedName>
    <definedName function="false" hidden="true" localSheetId="2" name="solver_ssz" vbProcedure="false">70</definedName>
    <definedName function="false" hidden="true" localSheetId="2" name="solver_stol" vbProcedure="false">0.000001</definedName>
    <definedName function="false" hidden="true" localSheetId="2" name="solver_tim" vbProcedure="false">60000</definedName>
    <definedName function="false" hidden="true" localSheetId="2" name="solver_typ" vbProcedure="false">1</definedName>
    <definedName function="false" hidden="true" localSheetId="2" name="solver_val" vbProcedure="false">0</definedName>
    <definedName function="false" hidden="true" localSheetId="2" name="solver_vrt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<sst xmlns="http://schemas.openxmlformats.org/spreadsheetml/2006/main" count="96" uniqueCount="57">
  <si>
    <t xml:space="preserve">Microsoft Excel Sensitivity Report</t>
  </si>
  <si>
    <t xml:space="preserve">Worksheet: Answer Report</t>
  </si>
  <si>
    <t xml:space="preserve">Report Created:Thu Oct 01 2026 20:16:47 GMT+0300 (за східноєвропейським літнім часом)</t>
  </si>
  <si>
    <t xml:space="preserve">Engine: LP/Quadratic</t>
  </si>
  <si>
    <t xml:space="preserve">Objective Cell (Max)</t>
  </si>
  <si>
    <t xml:space="preserve">Cell</t>
  </si>
  <si>
    <t xml:space="preserve">Original Value</t>
  </si>
  <si>
    <t xml:space="preserve">Final Value</t>
  </si>
  <si>
    <t xml:space="preserve">Sheet1'!B12</t>
  </si>
  <si>
    <t xml:space="preserve">Decision Variable Cells</t>
  </si>
  <si>
    <t xml:space="preserve">Final</t>
  </si>
  <si>
    <t xml:space="preserve">Reduced</t>
  </si>
  <si>
    <t xml:space="preserve">Maximum</t>
  </si>
  <si>
    <t xml:space="preserve">Minimum</t>
  </si>
  <si>
    <t xml:space="preserve">Allowable</t>
  </si>
  <si>
    <t xml:space="preserve">Value</t>
  </si>
  <si>
    <t xml:space="preserve">Cost</t>
  </si>
  <si>
    <t xml:space="preserve">Objective Coefficient</t>
  </si>
  <si>
    <t xml:space="preserve">increase</t>
  </si>
  <si>
    <t xml:space="preserve">decrease</t>
  </si>
  <si>
    <t xml:space="preserve">Буклет</t>
  </si>
  <si>
    <t xml:space="preserve">$B$7</t>
  </si>
  <si>
    <t xml:space="preserve">Каталог</t>
  </si>
  <si>
    <t xml:space="preserve">$C$7</t>
  </si>
  <si>
    <t xml:space="preserve">Календар</t>
  </si>
  <si>
    <t xml:space="preserve">$D$7</t>
  </si>
  <si>
    <t xml:space="preserve">Плакат</t>
  </si>
  <si>
    <t xml:space="preserve">$E$7</t>
  </si>
  <si>
    <t xml:space="preserve">Constraints</t>
  </si>
  <si>
    <t xml:space="preserve">Shadow</t>
  </si>
  <si>
    <t xml:space="preserve">Constraint</t>
  </si>
  <si>
    <t xml:space="preserve">Price</t>
  </si>
  <si>
    <t xml:space="preserve">R.H.Side</t>
  </si>
  <si>
    <t xml:space="preserve">Increase</t>
  </si>
  <si>
    <t xml:space="preserve">Decrease</t>
  </si>
  <si>
    <t xml:space="preserve">$L$12</t>
  </si>
  <si>
    <t xml:space="preserve">$L$13</t>
  </si>
  <si>
    <t xml:space="preserve">$L$14</t>
  </si>
  <si>
    <t xml:space="preserve">$L$15</t>
  </si>
  <si>
    <t xml:space="preserve">$L$16</t>
  </si>
  <si>
    <t xml:space="preserve">Microsoft Excel Answer Report</t>
  </si>
  <si>
    <t xml:space="preserve">Worksheet: Sheet1</t>
  </si>
  <si>
    <t xml:space="preserve">Report Created:Thu Oct 01 2026 20:16:46 GMT+0300 (за східноєвропейським літнім часом)</t>
  </si>
  <si>
    <t xml:space="preserve">Result: Solver found a solution.  All constraints and optimality conditions are satisfied.</t>
  </si>
  <si>
    <t xml:space="preserve">Solution Time: 2 milliseconds</t>
  </si>
  <si>
    <t xml:space="preserve">Iterations: 0</t>
  </si>
  <si>
    <t xml:space="preserve">Subproblems: 0</t>
  </si>
  <si>
    <t xml:space="preserve">Incumbent Solutions: 0</t>
  </si>
  <si>
    <t xml:space="preserve">Lower Bound</t>
  </si>
  <si>
    <t xml:space="preserve">Upper Bound</t>
  </si>
  <si>
    <t xml:space="preserve">Slack</t>
  </si>
  <si>
    <t xml:space="preserve">Крейдований папір, кг </t>
  </si>
  <si>
    <t xml:space="preserve">&lt;=</t>
  </si>
  <si>
    <t xml:space="preserve">Офсетний папір, кг </t>
  </si>
  <si>
    <t xml:space="preserve">Фарба, кг </t>
  </si>
  <si>
    <t xml:space="preserve">Друкарська машина, год </t>
  </si>
  <si>
    <t xml:space="preserve">Різка й фальцювання, год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</si>
</sst>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0000FF"/>
      <name val="Arial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H12" activeCellId="0" sqref="H12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4" min="4" style="0" width="9.71"/>
  </cols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6" customFormat="false" ht="12.75" hidden="false" customHeight="false" outlineLevel="0" collapsed="false">
      <c r="A6" s="2" t="s">
        <v>4</v>
      </c>
      <c r="B6" s="2"/>
      <c r="C6" s="2"/>
      <c r="D6" s="2"/>
    </row>
    <row r="7" customFormat="false" ht="12.75" hidden="false" customHeight="false" outlineLevel="0" collapsed="false">
      <c r="A7" s="3"/>
      <c r="B7" s="3" t="s">
        <v>5</v>
      </c>
      <c r="C7" s="3" t="s">
        <v>6</v>
      </c>
      <c r="D7" s="3" t="s">
        <v>7</v>
      </c>
    </row>
    <row r="8" customFormat="false" ht="12.75" hidden="false" customHeight="false" outlineLevel="0" collapsed="false">
      <c r="A8" s="4"/>
      <c r="B8" s="4" t="s">
        <v>8</v>
      </c>
      <c r="C8" s="4" t="n">
        <v>20950.1666666667</v>
      </c>
      <c r="D8" s="4" t="n">
        <v>20950.1666666667</v>
      </c>
    </row>
    <row r="10" customFormat="false" ht="12.75" hidden="false" customHeight="false" outlineLevel="0" collapsed="false">
      <c r="A10" s="2" t="s">
        <v>9</v>
      </c>
      <c r="B10" s="2"/>
      <c r="C10" s="2"/>
      <c r="D10" s="2"/>
      <c r="E10" s="2"/>
      <c r="F10" s="2"/>
    </row>
    <row r="11" customFormat="false" ht="12.75" hidden="false" customHeight="false" outlineLevel="0" collapsed="false">
      <c r="A11" s="3"/>
      <c r="B11" s="3"/>
      <c r="C11" s="3" t="s">
        <v>10</v>
      </c>
      <c r="D11" s="3" t="s">
        <v>11</v>
      </c>
      <c r="E11" s="3" t="s">
        <v>12</v>
      </c>
      <c r="F11" s="3" t="s">
        <v>13</v>
      </c>
      <c r="G11" s="0" t="s">
        <v>14</v>
      </c>
      <c r="H11" s="0" t="s">
        <v>14</v>
      </c>
    </row>
    <row r="12" customFormat="false" ht="12.75" hidden="false" customHeight="false" outlineLevel="0" collapsed="false">
      <c r="A12" s="3"/>
      <c r="B12" s="3" t="s">
        <v>5</v>
      </c>
      <c r="C12" s="3" t="s">
        <v>15</v>
      </c>
      <c r="D12" s="3" t="s">
        <v>16</v>
      </c>
      <c r="E12" s="3" t="s">
        <v>17</v>
      </c>
      <c r="F12" s="3" t="s">
        <v>17</v>
      </c>
      <c r="G12" s="0" t="s">
        <v>18</v>
      </c>
      <c r="H12" s="0" t="s">
        <v>19</v>
      </c>
    </row>
    <row r="13" customFormat="false" ht="12.75" hidden="false" customHeight="false" outlineLevel="0" collapsed="false">
      <c r="A13" s="0" t="s">
        <v>20</v>
      </c>
      <c r="B13" s="5" t="s">
        <v>21</v>
      </c>
      <c r="C13" s="5" t="n">
        <v>88.0416666666667</v>
      </c>
      <c r="D13" s="5" t="n">
        <v>0</v>
      </c>
      <c r="E13" s="5" t="n">
        <v>92.0000002</v>
      </c>
      <c r="F13" s="5" t="n">
        <v>31.99999992</v>
      </c>
      <c r="G13" s="0" t="n">
        <f aca="false">E13-Sheet1!B10</f>
        <v>32.0000002</v>
      </c>
      <c r="H13" s="0" t="n">
        <f aca="false">Sheet1!B10-F13</f>
        <v>28.00000008</v>
      </c>
    </row>
    <row r="14" customFormat="false" ht="12.75" hidden="false" customHeight="false" outlineLevel="0" collapsed="false">
      <c r="A14" s="0" t="s">
        <v>22</v>
      </c>
      <c r="B14" s="5" t="s">
        <v>23</v>
      </c>
      <c r="C14" s="5" t="n">
        <v>0</v>
      </c>
      <c r="D14" s="5" t="n">
        <v>-19.1666666666667</v>
      </c>
      <c r="E14" s="5" t="n">
        <v>44.1666666666667</v>
      </c>
      <c r="F14" s="5" t="n">
        <v>-1E+030</v>
      </c>
      <c r="G14" s="0" t="n">
        <f aca="false">E14-Sheet1!C10</f>
        <v>19.1666666666667</v>
      </c>
      <c r="H14" s="0" t="n">
        <f aca="false">Sheet1!C10-F14</f>
        <v>1E+030</v>
      </c>
    </row>
    <row r="15" customFormat="false" ht="12.75" hidden="false" customHeight="false" outlineLevel="0" collapsed="false">
      <c r="A15" s="0" t="s">
        <v>24</v>
      </c>
      <c r="B15" s="5" t="s">
        <v>25</v>
      </c>
      <c r="C15" s="5" t="n">
        <v>263.479166666667</v>
      </c>
      <c r="D15" s="5" t="n">
        <v>0</v>
      </c>
      <c r="E15" s="5" t="n">
        <v>115.00000016</v>
      </c>
      <c r="F15" s="5" t="n">
        <v>32.7142855771428</v>
      </c>
      <c r="G15" s="0" t="n">
        <f aca="false">E15-Sheet1!D10</f>
        <v>56.00000016</v>
      </c>
      <c r="H15" s="0" t="n">
        <f aca="false">Sheet1!D10-F15</f>
        <v>26.2857144228572</v>
      </c>
    </row>
    <row r="16" customFormat="false" ht="12.75" hidden="false" customHeight="false" outlineLevel="0" collapsed="false">
      <c r="A16" s="0" t="s">
        <v>26</v>
      </c>
      <c r="B16" s="4" t="s">
        <v>27</v>
      </c>
      <c r="C16" s="4" t="n">
        <v>4.89583333333333</v>
      </c>
      <c r="D16" s="4" t="n">
        <v>0</v>
      </c>
      <c r="E16" s="4" t="n">
        <v>293.0000006</v>
      </c>
      <c r="F16" s="4" t="n">
        <v>12.19999992</v>
      </c>
      <c r="G16" s="0" t="n">
        <f aca="false">E16-Sheet1!E10</f>
        <v>268.0000006</v>
      </c>
      <c r="H16" s="0" t="n">
        <f aca="false">Sheet1!E10-F16</f>
        <v>12.80000008</v>
      </c>
    </row>
    <row r="18" customFormat="false" ht="12.75" hidden="false" customHeight="false" outlineLevel="0" collapsed="false">
      <c r="A18" s="2" t="s">
        <v>28</v>
      </c>
      <c r="B18" s="2"/>
      <c r="C18" s="2"/>
      <c r="D18" s="2"/>
      <c r="E18" s="2"/>
      <c r="F18" s="2"/>
      <c r="G18" s="2"/>
    </row>
    <row r="19" customFormat="false" ht="12.75" hidden="false" customHeight="false" outlineLevel="0" collapsed="false">
      <c r="A19" s="3"/>
      <c r="B19" s="3"/>
      <c r="C19" s="3" t="s">
        <v>10</v>
      </c>
      <c r="D19" s="3" t="s">
        <v>29</v>
      </c>
      <c r="E19" s="3" t="s">
        <v>30</v>
      </c>
      <c r="F19" s="3" t="s">
        <v>14</v>
      </c>
      <c r="G19" s="3" t="s">
        <v>14</v>
      </c>
    </row>
    <row r="20" customFormat="false" ht="12.75" hidden="false" customHeight="false" outlineLevel="0" collapsed="false">
      <c r="A20" s="3"/>
      <c r="B20" s="3" t="s">
        <v>5</v>
      </c>
      <c r="C20" s="3" t="s">
        <v>15</v>
      </c>
      <c r="D20" s="3" t="s">
        <v>31</v>
      </c>
      <c r="E20" s="3" t="s">
        <v>32</v>
      </c>
      <c r="F20" s="3" t="s">
        <v>33</v>
      </c>
      <c r="G20" s="3" t="s">
        <v>34</v>
      </c>
    </row>
    <row r="21" customFormat="false" ht="12.75" hidden="false" customHeight="false" outlineLevel="0" collapsed="false">
      <c r="A21" s="5"/>
      <c r="B21" s="5" t="s">
        <v>35</v>
      </c>
      <c r="C21" s="5" t="n">
        <v>991</v>
      </c>
      <c r="D21" s="5" t="n">
        <v>0</v>
      </c>
      <c r="E21" s="5" t="n">
        <v>1279</v>
      </c>
      <c r="F21" s="5" t="n">
        <v>1E+030</v>
      </c>
      <c r="G21" s="5" t="n">
        <v>288</v>
      </c>
    </row>
    <row r="22" customFormat="false" ht="12.75" hidden="false" customHeight="false" outlineLevel="0" collapsed="false">
      <c r="A22" s="5"/>
      <c r="B22" s="5" t="s">
        <v>36</v>
      </c>
      <c r="C22" s="5" t="n">
        <v>293.5</v>
      </c>
      <c r="D22" s="5" t="n">
        <v>0</v>
      </c>
      <c r="E22" s="5" t="n">
        <v>761</v>
      </c>
      <c r="F22" s="5" t="n">
        <v>1E+030</v>
      </c>
      <c r="G22" s="5" t="n">
        <v>467.5</v>
      </c>
    </row>
    <row r="23" customFormat="false" ht="12.75" hidden="false" customHeight="false" outlineLevel="0" collapsed="false">
      <c r="A23" s="5"/>
      <c r="B23" s="5" t="s">
        <v>37</v>
      </c>
      <c r="C23" s="5" t="n">
        <v>376</v>
      </c>
      <c r="D23" s="5" t="n">
        <v>2.66666666666667</v>
      </c>
      <c r="E23" s="5" t="n">
        <v>376</v>
      </c>
      <c r="F23" s="5" t="n">
        <v>288</v>
      </c>
      <c r="G23" s="5" t="n">
        <v>23.5</v>
      </c>
    </row>
    <row r="24" customFormat="false" ht="12.75" hidden="false" customHeight="false" outlineLevel="0" collapsed="false">
      <c r="A24" s="5"/>
      <c r="B24" s="5" t="s">
        <v>38</v>
      </c>
      <c r="C24" s="5" t="n">
        <v>1230</v>
      </c>
      <c r="D24" s="5" t="n">
        <v>11.1666666666667</v>
      </c>
      <c r="E24" s="5" t="n">
        <v>1230</v>
      </c>
      <c r="F24" s="5" t="n">
        <v>117.5</v>
      </c>
      <c r="G24" s="5" t="n">
        <v>903.357142857143</v>
      </c>
    </row>
    <row r="25" customFormat="false" ht="12.75" hidden="false" customHeight="false" outlineLevel="0" collapsed="false">
      <c r="A25" s="4"/>
      <c r="B25" s="4" t="s">
        <v>39</v>
      </c>
      <c r="C25" s="4" t="n">
        <v>1065</v>
      </c>
      <c r="D25" s="4" t="n">
        <v>5.83333333333333</v>
      </c>
      <c r="E25" s="4" t="n">
        <v>1065</v>
      </c>
      <c r="F25" s="4" t="n">
        <v>235</v>
      </c>
      <c r="G25" s="4" t="n">
        <v>422.6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19" activeCellId="0" sqref="E19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7" min="7" style="0" width="12.42"/>
  </cols>
  <sheetData>
    <row r="1" customFormat="false" ht="12.75" hidden="false" customHeight="false" outlineLevel="0" collapsed="false">
      <c r="A1" s="1" t="s">
        <v>40</v>
      </c>
    </row>
    <row r="2" customFormat="false" ht="12.75" hidden="false" customHeight="false" outlineLevel="0" collapsed="false">
      <c r="A2" s="1" t="s">
        <v>41</v>
      </c>
    </row>
    <row r="3" customFormat="false" ht="12.75" hidden="false" customHeight="false" outlineLevel="0" collapsed="false">
      <c r="A3" s="1" t="s">
        <v>42</v>
      </c>
    </row>
    <row r="4" customFormat="false" ht="12.75" hidden="false" customHeight="false" outlineLevel="0" collapsed="false">
      <c r="A4" s="1" t="s">
        <v>43</v>
      </c>
    </row>
    <row r="5" customFormat="false" ht="12.75" hidden="false" customHeight="false" outlineLevel="0" collapsed="false">
      <c r="A5" s="1" t="s">
        <v>3</v>
      </c>
    </row>
    <row r="6" customFormat="false" ht="12.75" hidden="false" customHeight="false" outlineLevel="0" collapsed="false">
      <c r="A6" s="1" t="s">
        <v>44</v>
      </c>
    </row>
    <row r="7" customFormat="false" ht="12.75" hidden="false" customHeight="false" outlineLevel="0" collapsed="false">
      <c r="A7" s="1" t="s">
        <v>45</v>
      </c>
    </row>
    <row r="8" customFormat="false" ht="12.75" hidden="false" customHeight="false" outlineLevel="0" collapsed="false">
      <c r="A8" s="1" t="s">
        <v>46</v>
      </c>
    </row>
    <row r="9" customFormat="false" ht="12.75" hidden="false" customHeight="false" outlineLevel="0" collapsed="false">
      <c r="A9" s="1" t="s">
        <v>47</v>
      </c>
    </row>
    <row r="12" customFormat="false" ht="12.75" hidden="false" customHeight="false" outlineLevel="0" collapsed="false">
      <c r="A12" s="2" t="s">
        <v>4</v>
      </c>
      <c r="B12" s="2"/>
      <c r="C12" s="2"/>
      <c r="D12" s="2"/>
    </row>
    <row r="13" customFormat="false" ht="12.75" hidden="false" customHeight="false" outlineLevel="0" collapsed="false">
      <c r="A13" s="3"/>
      <c r="B13" s="3" t="s">
        <v>5</v>
      </c>
      <c r="C13" s="3" t="s">
        <v>6</v>
      </c>
      <c r="D13" s="3" t="s">
        <v>7</v>
      </c>
    </row>
    <row r="14" customFormat="false" ht="12.75" hidden="false" customHeight="false" outlineLevel="0" collapsed="false">
      <c r="A14" s="4"/>
      <c r="B14" s="4" t="s">
        <v>8</v>
      </c>
      <c r="C14" s="4" t="n">
        <v>20950.1666666667</v>
      </c>
      <c r="D14" s="4" t="n">
        <v>20950.1666666667</v>
      </c>
    </row>
    <row r="17" customFormat="false" ht="12.75" hidden="false" customHeight="false" outlineLevel="0" collapsed="false">
      <c r="A17" s="2" t="s">
        <v>9</v>
      </c>
      <c r="B17" s="2"/>
      <c r="C17" s="2"/>
      <c r="D17" s="2"/>
    </row>
    <row r="18" customFormat="false" ht="12.75" hidden="false" customHeight="false" outlineLevel="0" collapsed="false">
      <c r="A18" s="3"/>
      <c r="B18" s="3" t="s">
        <v>5</v>
      </c>
      <c r="C18" s="3" t="s">
        <v>6</v>
      </c>
      <c r="D18" s="3" t="s">
        <v>7</v>
      </c>
    </row>
    <row r="19" customFormat="false" ht="12.75" hidden="false" customHeight="false" outlineLevel="0" collapsed="false">
      <c r="A19" s="5"/>
      <c r="B19" s="5" t="s">
        <v>21</v>
      </c>
      <c r="C19" s="5" t="n">
        <v>88.0416666666667</v>
      </c>
      <c r="D19" s="5" t="n">
        <v>88.0416666666667</v>
      </c>
    </row>
    <row r="20" customFormat="false" ht="12.75" hidden="false" customHeight="false" outlineLevel="0" collapsed="false">
      <c r="A20" s="5"/>
      <c r="B20" s="5" t="s">
        <v>23</v>
      </c>
      <c r="C20" s="5" t="n">
        <v>0</v>
      </c>
      <c r="D20" s="5" t="n">
        <v>0</v>
      </c>
    </row>
    <row r="21" customFormat="false" ht="12.75" hidden="false" customHeight="false" outlineLevel="0" collapsed="false">
      <c r="A21" s="5"/>
      <c r="B21" s="5" t="s">
        <v>25</v>
      </c>
      <c r="C21" s="5" t="n">
        <v>263.479166666667</v>
      </c>
      <c r="D21" s="5" t="n">
        <v>263.479166666667</v>
      </c>
    </row>
    <row r="22" customFormat="false" ht="12.75" hidden="false" customHeight="false" outlineLevel="0" collapsed="false">
      <c r="A22" s="4"/>
      <c r="B22" s="4" t="s">
        <v>27</v>
      </c>
      <c r="C22" s="4" t="n">
        <v>4.89583333333333</v>
      </c>
      <c r="D22" s="4" t="n">
        <v>4.89583333333333</v>
      </c>
    </row>
    <row r="24" customFormat="false" ht="12.75" hidden="false" customHeight="false" outlineLevel="0" collapsed="false">
      <c r="A24" s="2" t="s">
        <v>28</v>
      </c>
      <c r="B24" s="2"/>
      <c r="C24" s="2"/>
      <c r="D24" s="2"/>
      <c r="E24" s="2"/>
      <c r="F24" s="2"/>
      <c r="G24" s="2"/>
    </row>
    <row r="25" customFormat="false" ht="12.75" hidden="false" customHeight="false" outlineLevel="0" collapsed="false">
      <c r="A25" s="3"/>
      <c r="B25" s="3" t="s">
        <v>5</v>
      </c>
      <c r="C25" s="3" t="s">
        <v>6</v>
      </c>
      <c r="D25" s="3" t="s">
        <v>7</v>
      </c>
      <c r="E25" s="3" t="s">
        <v>48</v>
      </c>
      <c r="F25" s="3" t="s">
        <v>49</v>
      </c>
      <c r="G25" s="3" t="s">
        <v>50</v>
      </c>
    </row>
    <row r="26" customFormat="false" ht="12.75" hidden="false" customHeight="false" outlineLevel="0" collapsed="false">
      <c r="A26" s="5"/>
      <c r="B26" s="5" t="s">
        <v>35</v>
      </c>
      <c r="C26" s="5" t="n">
        <v>991.000000000001</v>
      </c>
      <c r="D26" s="5" t="n">
        <v>991</v>
      </c>
      <c r="E26" s="5" t="n">
        <v>-1E+030</v>
      </c>
      <c r="F26" s="5" t="n">
        <v>1279</v>
      </c>
      <c r="G26" s="5" t="n">
        <v>288</v>
      </c>
    </row>
    <row r="27" customFormat="false" ht="12.75" hidden="false" customHeight="false" outlineLevel="0" collapsed="false">
      <c r="A27" s="5"/>
      <c r="B27" s="5" t="s">
        <v>36</v>
      </c>
      <c r="C27" s="5" t="n">
        <v>293.5</v>
      </c>
      <c r="D27" s="5" t="n">
        <v>293.5</v>
      </c>
      <c r="E27" s="5" t="n">
        <v>-1E+030</v>
      </c>
      <c r="F27" s="5" t="n">
        <v>761</v>
      </c>
      <c r="G27" s="5" t="n">
        <v>467.5</v>
      </c>
    </row>
    <row r="28" customFormat="false" ht="12.75" hidden="false" customHeight="false" outlineLevel="0" collapsed="false">
      <c r="A28" s="5"/>
      <c r="B28" s="5" t="s">
        <v>37</v>
      </c>
      <c r="C28" s="5" t="n">
        <v>376</v>
      </c>
      <c r="D28" s="5" t="n">
        <v>376</v>
      </c>
      <c r="E28" s="5" t="n">
        <v>-1E+030</v>
      </c>
      <c r="F28" s="5" t="n">
        <v>376</v>
      </c>
      <c r="G28" s="5" t="n">
        <v>0</v>
      </c>
    </row>
    <row r="29" customFormat="false" ht="12.75" hidden="false" customHeight="false" outlineLevel="0" collapsed="false">
      <c r="A29" s="5"/>
      <c r="B29" s="5" t="s">
        <v>38</v>
      </c>
      <c r="C29" s="5" t="n">
        <v>1230</v>
      </c>
      <c r="D29" s="5" t="n">
        <v>1230</v>
      </c>
      <c r="E29" s="5" t="n">
        <v>-1E+030</v>
      </c>
      <c r="F29" s="5" t="n">
        <v>1230</v>
      </c>
      <c r="G29" s="5" t="n">
        <v>2.27373675443232E-013</v>
      </c>
    </row>
    <row r="30" customFormat="false" ht="12.75" hidden="false" customHeight="false" outlineLevel="0" collapsed="false">
      <c r="A30" s="4"/>
      <c r="B30" s="4" t="s">
        <v>39</v>
      </c>
      <c r="C30" s="4" t="n">
        <v>1065</v>
      </c>
      <c r="D30" s="4" t="n">
        <v>1065</v>
      </c>
      <c r="E30" s="4" t="n">
        <v>-1E+030</v>
      </c>
      <c r="F30" s="4" t="n">
        <v>1065</v>
      </c>
      <c r="G30" s="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N20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6" activeCellId="0" sqref="E6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2" min="2" style="0" width="15.14"/>
    <col collapsed="false" customWidth="true" hidden="false" outlineLevel="0" max="3" min="3" style="0" width="14.29"/>
    <col collapsed="false" customWidth="true" hidden="false" outlineLevel="0" max="4" min="4" style="0" width="16.57"/>
    <col collapsed="false" customWidth="true" hidden="false" outlineLevel="0" max="5" min="5" style="0" width="15.29"/>
  </cols>
  <sheetData>
    <row r="6" customFormat="false" ht="12.75" hidden="false" customHeight="false" outlineLevel="0" collapsed="false">
      <c r="B6" s="0" t="s">
        <v>20</v>
      </c>
      <c r="C6" s="0" t="s">
        <v>22</v>
      </c>
      <c r="D6" s="0" t="s">
        <v>24</v>
      </c>
      <c r="E6" s="0" t="s">
        <v>26</v>
      </c>
    </row>
    <row r="7" customFormat="false" ht="12.75" hidden="false" customHeight="false" outlineLevel="0" collapsed="false">
      <c r="B7" s="0" t="n">
        <v>88.0416666666667</v>
      </c>
      <c r="C7" s="0" t="n">
        <v>0</v>
      </c>
      <c r="D7" s="0" t="n">
        <v>263.479166666667</v>
      </c>
      <c r="E7" s="0" t="n">
        <v>4.89583333333333</v>
      </c>
    </row>
    <row r="10" customFormat="false" ht="12.75" hidden="false" customHeight="false" outlineLevel="0" collapsed="false">
      <c r="B10" s="6" t="n">
        <v>60</v>
      </c>
      <c r="C10" s="6" t="n">
        <v>25</v>
      </c>
      <c r="D10" s="6" t="n">
        <v>59</v>
      </c>
      <c r="E10" s="6" t="n">
        <v>25</v>
      </c>
      <c r="H10" s="6"/>
      <c r="I10" s="6"/>
      <c r="J10" s="6"/>
      <c r="K10" s="6"/>
      <c r="L10" s="6"/>
      <c r="M10" s="6"/>
    </row>
    <row r="11" customFormat="false" ht="12.75" hidden="false" customHeight="false" outlineLevel="0" collapsed="false">
      <c r="H11" s="6"/>
      <c r="I11" s="6"/>
      <c r="J11" s="6"/>
      <c r="K11" s="6"/>
      <c r="M11" s="6"/>
    </row>
    <row r="12" customFormat="false" ht="23.85" hidden="false" customHeight="false" outlineLevel="0" collapsed="false">
      <c r="B12" s="7" t="n">
        <f aca="false">SUMPRODUCT(B7:E7, B10:E10)</f>
        <v>20950.1666666667</v>
      </c>
      <c r="G12" s="7" t="s">
        <v>51</v>
      </c>
      <c r="H12" s="6" t="n">
        <v>2</v>
      </c>
      <c r="I12" s="6" t="n">
        <v>1</v>
      </c>
      <c r="J12" s="6" t="n">
        <v>3</v>
      </c>
      <c r="K12" s="6" t="n">
        <v>5</v>
      </c>
      <c r="L12" s="7" t="n">
        <f aca="false">SUMPRODUCT($B$7:$E$7, H12:K12)</f>
        <v>991</v>
      </c>
      <c r="M12" s="6" t="s">
        <v>52</v>
      </c>
      <c r="N12" s="6" t="n">
        <v>1279</v>
      </c>
    </row>
    <row r="13" customFormat="false" ht="23.85" hidden="false" customHeight="false" outlineLevel="0" collapsed="false">
      <c r="G13" s="7" t="s">
        <v>53</v>
      </c>
      <c r="H13" s="6" t="n">
        <v>3</v>
      </c>
      <c r="I13" s="6" t="n">
        <v>1</v>
      </c>
      <c r="J13" s="6" t="n">
        <v>0</v>
      </c>
      <c r="K13" s="6" t="n">
        <v>6</v>
      </c>
      <c r="L13" s="7" t="n">
        <f aca="false">SUMPRODUCT($B$7:$E$7, H13:K13)</f>
        <v>293.5</v>
      </c>
      <c r="M13" s="6" t="s">
        <v>52</v>
      </c>
      <c r="N13" s="6" t="n">
        <v>761</v>
      </c>
    </row>
    <row r="14" customFormat="false" ht="12.75" hidden="false" customHeight="false" outlineLevel="0" collapsed="false">
      <c r="G14" s="7" t="s">
        <v>54</v>
      </c>
      <c r="H14" s="6" t="n">
        <v>1</v>
      </c>
      <c r="I14" s="6" t="n">
        <v>6</v>
      </c>
      <c r="J14" s="6" t="n">
        <v>1</v>
      </c>
      <c r="K14" s="6" t="n">
        <v>5</v>
      </c>
      <c r="L14" s="7" t="n">
        <f aca="false">SUMPRODUCT($B$7:$E$7, H14:K14)</f>
        <v>376</v>
      </c>
      <c r="M14" s="6" t="s">
        <v>52</v>
      </c>
      <c r="N14" s="6" t="n">
        <v>376</v>
      </c>
    </row>
    <row r="15" customFormat="false" ht="23.25" hidden="false" customHeight="false" outlineLevel="0" collapsed="false">
      <c r="G15" s="7" t="s">
        <v>55</v>
      </c>
      <c r="H15" s="6" t="n">
        <v>2</v>
      </c>
      <c r="I15" s="6" t="n">
        <v>2</v>
      </c>
      <c r="J15" s="6" t="n">
        <v>4</v>
      </c>
      <c r="K15" s="6" t="n">
        <v>0</v>
      </c>
      <c r="L15" s="7" t="n">
        <f aca="false">SUMPRODUCT($B$7:$E$7, H15:K15)</f>
        <v>1230</v>
      </c>
      <c r="M15" s="6" t="s">
        <v>52</v>
      </c>
      <c r="N15" s="6" t="n">
        <v>1230</v>
      </c>
    </row>
    <row r="16" customFormat="false" ht="34.5" hidden="false" customHeight="false" outlineLevel="0" collapsed="false">
      <c r="G16" s="7" t="s">
        <v>56</v>
      </c>
      <c r="H16" s="6" t="n">
        <v>6</v>
      </c>
      <c r="I16" s="6" t="n">
        <v>1</v>
      </c>
      <c r="J16" s="6" t="n">
        <v>2</v>
      </c>
      <c r="K16" s="6" t="n">
        <v>2</v>
      </c>
      <c r="L16" s="7" t="n">
        <f aca="false">SUMPRODUCT($B$7:$E$7, H16:K16)</f>
        <v>1065</v>
      </c>
      <c r="M16" s="6" t="s">
        <v>52</v>
      </c>
      <c r="N16" s="6" t="n">
        <v>1065</v>
      </c>
    </row>
    <row r="17" customFormat="false" ht="12.75" hidden="false" customHeight="false" outlineLevel="0" collapsed="false">
      <c r="H17" s="6"/>
      <c r="I17" s="6"/>
      <c r="J17" s="6"/>
      <c r="K17" s="6"/>
      <c r="L17" s="6"/>
      <c r="M17" s="6"/>
    </row>
    <row r="18" customFormat="false" ht="12.75" hidden="false" customHeight="false" outlineLevel="0" collapsed="false">
      <c r="L18" s="6"/>
      <c r="M18" s="6"/>
    </row>
    <row r="19" customFormat="false" ht="12.75" hidden="false" customHeight="false" outlineLevel="0" collapsed="false">
      <c r="H19" s="6"/>
      <c r="I19" s="6"/>
      <c r="J19" s="6"/>
      <c r="K19" s="6"/>
      <c r="L19" s="6"/>
      <c r="M19" s="6"/>
    </row>
    <row r="20" customFormat="false" ht="12.75" hidden="false" customHeight="false" outlineLevel="0" collapsed="false">
      <c r="H20" s="6"/>
      <c r="I20" s="6"/>
      <c r="J20" s="6"/>
      <c r="K20" s="6"/>
      <c r="L20" s="6"/>
      <c r="M2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2026-10-01T19:46:21Z</dcterms:created>
  <dc:creator/>
  <dc:description/>
  <dc:language>en-US</dc:language>
  <cp:lastModifiedBy/>
  <dcterms:modified xsi:type="dcterms:W3CDTF">2026-10-09T00:03:08Z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