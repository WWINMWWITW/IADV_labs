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8_{4566AB3A-44C7-40AF-A0A8-F86D9C851DFE}" xr6:coauthVersionLast="47" xr6:coauthVersionMax="47" xr10:uidLastSave="{00000000-0000-0000-0000-000000000000}"/>
  <bookViews>
    <workbookView xWindow="0" yWindow="0" windowWidth="16384" windowHeight="8192" tabRatio="500" activeTab="2" xr2:uid="{00000000-000D-0000-FFFF-FFFF00000000}"/>
  </bookViews>
  <sheets>
    <sheet name="Sensitivity Report" sheetId="3" r:id="rId1"/>
    <sheet name="Answer Report" sheetId="2" r:id="rId2"/>
    <sheet name="Sheet1" sheetId="1" r:id="rId3"/>
  </sheets>
  <definedNames>
    <definedName name="solver_acr" localSheetId="2" hidden="1">0</definedName>
    <definedName name="solver_adj" localSheetId="2" hidden="1">Sheet1!$B$7:$E$7</definedName>
    <definedName name="solver_asr" localSheetId="2" hidden="1">0.5</definedName>
    <definedName name="solver_bbd" localSheetId="2" hidden="1">1</definedName>
    <definedName name="solver_ccoeff" localSheetId="2" hidden="1">0.729</definedName>
    <definedName name="solver_cog" localSheetId="2" hidden="1">1.494</definedName>
    <definedName name="solver_crpb" localSheetId="2" hidden="1">0.9</definedName>
    <definedName name="solver_eng" localSheetId="0" hidden="1">0</definedName>
    <definedName name="solver_eng" localSheetId="1" hidden="1">0</definedName>
    <definedName name="solver_eng" localSheetId="2" hidden="1">2</definedName>
    <definedName name="solver_enst" localSheetId="2" hidden="1">1</definedName>
    <definedName name="solver_eps" localSheetId="2" hidden="1">0</definedName>
    <definedName name="solver_gvr" localSheetId="2" hidden="1">1</definedName>
    <definedName name="solver_int" localSheetId="2" hidden="1">0</definedName>
    <definedName name="solver_lbsz" localSheetId="2" hidden="1">210</definedName>
    <definedName name="solver_lcy" localSheetId="2" hidden="1">2000</definedName>
    <definedName name="solver_lhs1" localSheetId="2" hidden="1">Sheet1!$L$12</definedName>
    <definedName name="solver_lhs2" localSheetId="2" hidden="1">Sheet1!$L$13</definedName>
    <definedName name="solver_lhs3" localSheetId="2" hidden="1">Sheet1!$L$14</definedName>
    <definedName name="solver_lhs4" localSheetId="2" hidden="1">Sheet1!$L$15</definedName>
    <definedName name="solver_lhs5" localSheetId="2" hidden="1">Sheet1!$L$16</definedName>
    <definedName name="solver_lo_eng" localSheetId="2" hidden="1">"com.sun.star.comp.Calc.CoinMPSolver"</definedName>
    <definedName name="solver_mtpb" localSheetId="2" hidden="1">0</definedName>
    <definedName name="solver_neg" localSheetId="2" hidden="1">1</definedName>
    <definedName name="solver_num" localSheetId="2" hidden="1">5</definedName>
    <definedName name="solver_opt" localSheetId="2" hidden="1">Sheet1!$B$12</definedName>
    <definedName name="solver_prng" localSheetId="2" hidden="1">0</definedName>
    <definedName name="solver_rel1" localSheetId="2" hidden="1">1</definedName>
    <definedName name="solver_rel2" localSheetId="2" hidden="1">1</definedName>
    <definedName name="solver_rel3" localSheetId="2" hidden="1">1</definedName>
    <definedName name="solver_rel4" localSheetId="2" hidden="1">1</definedName>
    <definedName name="solver_rel5" localSheetId="2" hidden="1">1</definedName>
    <definedName name="solver_rhs1" localSheetId="2" hidden="1">Sheet1!$N$12</definedName>
    <definedName name="solver_rhs2" localSheetId="2" hidden="1">Sheet1!$N$13</definedName>
    <definedName name="solver_rhs3" localSheetId="2" hidden="1">Sheet1!$N$14</definedName>
    <definedName name="solver_rhs4" localSheetId="2" hidden="1">Sheet1!$N$15</definedName>
    <definedName name="solver_rhs5" localSheetId="2" hidden="1">Sheet1!$N$16</definedName>
    <definedName name="solver_rsp" localSheetId="2" hidden="1">0</definedName>
    <definedName name="solver_slim" localSheetId="2" hidden="1">70</definedName>
    <definedName name="solver_smax" localSheetId="2" hidden="1">0.5</definedName>
    <definedName name="solver_smin" localSheetId="2" hidden="1">0.5</definedName>
    <definedName name="solver_soc" localSheetId="2" hidden="1">1.494</definedName>
    <definedName name="solver_ssz" localSheetId="2" hidden="1">70</definedName>
    <definedName name="solver_stol" localSheetId="2" hidden="1">0.000001</definedName>
    <definedName name="solver_tim" localSheetId="2" hidden="1">60000</definedName>
    <definedName name="solver_typ" localSheetId="2" hidden="1">1</definedName>
    <definedName name="solver_val" localSheetId="2" hidden="1">0</definedName>
    <definedName name="solver_vrt" localSheetId="2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12" i="1" l="1"/>
  <c r="L16" i="1"/>
  <c r="L15" i="1"/>
  <c r="L14" i="1"/>
  <c r="L13" i="1"/>
  <c r="L12" i="1"/>
</calcChain>
</file>

<file path=xl/sharedStrings.xml><?xml version="1.0" encoding="utf-8"?>
<sst xmlns="http://schemas.openxmlformats.org/spreadsheetml/2006/main" count="88" uniqueCount="55">
  <si>
    <t>Microsoft Excel Sensitivity Report</t>
  </si>
  <si>
    <t>Worksheet: Answer Report</t>
  </si>
  <si>
    <t>Report Created:Thu Oct 01 2026 20:16:47 GMT+0300 (за східноєвропейським літнім часом)</t>
  </si>
  <si>
    <t>Engine: LP/Quadratic</t>
  </si>
  <si>
    <t>Objective Cell (Max)</t>
  </si>
  <si>
    <t>Cell</t>
  </si>
  <si>
    <t>Original Value</t>
  </si>
  <si>
    <t>Final Value</t>
  </si>
  <si>
    <t>Sheet1'!B12</t>
  </si>
  <si>
    <t>Decision Variable Cells</t>
  </si>
  <si>
    <t>Final</t>
  </si>
  <si>
    <t>Reduced</t>
  </si>
  <si>
    <t>Maximum</t>
  </si>
  <si>
    <t>Minimum</t>
  </si>
  <si>
    <t>Value</t>
  </si>
  <si>
    <t>Cost</t>
  </si>
  <si>
    <t>Objective Coefficient</t>
  </si>
  <si>
    <t>$B$7</t>
  </si>
  <si>
    <t>$C$7</t>
  </si>
  <si>
    <t>$D$7</t>
  </si>
  <si>
    <t>$E$7</t>
  </si>
  <si>
    <t>Constraints</t>
  </si>
  <si>
    <t>Shadow</t>
  </si>
  <si>
    <t>Constraint</t>
  </si>
  <si>
    <t>Allowable</t>
  </si>
  <si>
    <t>Price</t>
  </si>
  <si>
    <t>R.H.Side</t>
  </si>
  <si>
    <t>Increase</t>
  </si>
  <si>
    <t>Decrease</t>
  </si>
  <si>
    <t>$L$12</t>
  </si>
  <si>
    <t>$L$13</t>
  </si>
  <si>
    <t>$L$14</t>
  </si>
  <si>
    <t>$L$15</t>
  </si>
  <si>
    <t>$L$16</t>
  </si>
  <si>
    <t>Microsoft Excel Answer Report</t>
  </si>
  <si>
    <t>Worksheet: Sheet1</t>
  </si>
  <si>
    <t>Report Created:Thu Oct 01 2026 20:16:46 GMT+0300 (за східноєвропейським літнім часом)</t>
  </si>
  <si>
    <t>Result: Solver found a solution.  All constraints and optimality conditions are satisfied.</t>
  </si>
  <si>
    <t>Solution Time: 2 milliseconds</t>
  </si>
  <si>
    <t>Iterations: 0</t>
  </si>
  <si>
    <t>Subproblems: 0</t>
  </si>
  <si>
    <t>Incumbent Solutions: 0</t>
  </si>
  <si>
    <t>Lower Bound</t>
  </si>
  <si>
    <t>Upper Bound</t>
  </si>
  <si>
    <t>Slack</t>
  </si>
  <si>
    <t>Буклет</t>
  </si>
  <si>
    <t>Каталог</t>
  </si>
  <si>
    <t>Календар</t>
  </si>
  <si>
    <t>Плакат</t>
  </si>
  <si>
    <t xml:space="preserve">Крейдований папір, кг </t>
  </si>
  <si>
    <t>&lt;=</t>
  </si>
  <si>
    <t xml:space="preserve">Офсетний папір, кг </t>
  </si>
  <si>
    <t xml:space="preserve">Фарба, кг </t>
  </si>
  <si>
    <t xml:space="preserve">Друкарська машина, год </t>
  </si>
  <si>
    <t xml:space="preserve">Різка й фальцювання, год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</si>
</sst>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name val="Arial"/>
      <family val="2"/>
    </font>
    <font>
      <sz val="10"/>
      <name val="Times New Roman"/>
      <family val="1"/>
    </font>
    <font>
      <b/>
      <sz val="8"/>
      <name val="Helv"/>
    </font>
    <font>
      <sz val="8"/>
      <name val="Helv"/>
    </font>
    <font>
      <b/>
      <sz val="8"/>
      <color rgb="FF0000FF"/>
      <name val="Helv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 applyBorder="1"/>
    <xf numFmtId="0" fontId="4" fillId="0" borderId="0" xfId="0" applyFont="1" applyBorder="1"/>
    <xf numFmtId="0" fontId="3" fillId="0" borderId="1" xfId="0" applyFont="1" applyBorder="1"/>
    <xf numFmtId="0" fontId="3" fillId="0" borderId="1" xfId="0" quotePrefix="1" applyFont="1" applyBorder="1"/>
    <xf numFmtId="0" fontId="3" fillId="0" borderId="2" xfId="0" applyFont="1" applyBorder="1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F0F3D8D-6BA5-4683-980C-13401A9D6A94}">
  <we:reference id="WA104100404" version="3.0.0.1" store="uk-ua" storeType="omex"/>
  <we:alternateReferences>
    <we:reference id="WA104100404" version="3.0.0.1" store="uk-ua" storeType="omex"/>
  </we:alternateReferences>
  <we:properties>
    <we:property name="UniqueID" value="&quot;202691179087483579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39173-4091-474A-9F79-FC026C9984F6}">
  <dimension ref="A1:G25"/>
  <sheetViews>
    <sheetView workbookViewId="0"/>
  </sheetViews>
  <sheetFormatPr defaultRowHeight="12.75"/>
  <cols>
    <col min="4" max="4" width="9.7109375" bestFit="1" customWidth="1"/>
  </cols>
  <sheetData>
    <row r="1" spans="1:6">
      <c r="A1" s="3" t="s">
        <v>0</v>
      </c>
    </row>
    <row r="2" spans="1:6">
      <c r="A2" s="3" t="s">
        <v>1</v>
      </c>
    </row>
    <row r="3" spans="1:6">
      <c r="A3" s="3" t="s">
        <v>2</v>
      </c>
    </row>
    <row r="4" spans="1:6">
      <c r="A4" s="3" t="s">
        <v>3</v>
      </c>
    </row>
    <row r="6" spans="1:6">
      <c r="A6" s="8" t="s">
        <v>4</v>
      </c>
      <c r="B6" s="8"/>
      <c r="C6" s="8"/>
      <c r="D6" s="8"/>
    </row>
    <row r="7" spans="1:6">
      <c r="A7" s="5"/>
      <c r="B7" s="5" t="s">
        <v>5</v>
      </c>
      <c r="C7" s="5" t="s">
        <v>6</v>
      </c>
      <c r="D7" s="5" t="s">
        <v>7</v>
      </c>
    </row>
    <row r="8" spans="1:6">
      <c r="A8" s="6"/>
      <c r="B8" s="7" t="s">
        <v>8</v>
      </c>
      <c r="C8" s="6">
        <v>20950.16666666669</v>
      </c>
      <c r="D8" s="6">
        <v>20950.166666666661</v>
      </c>
    </row>
    <row r="10" spans="1:6">
      <c r="A10" s="8" t="s">
        <v>9</v>
      </c>
      <c r="B10" s="8"/>
      <c r="C10" s="8"/>
      <c r="D10" s="8"/>
      <c r="E10" s="8"/>
      <c r="F10" s="8"/>
    </row>
    <row r="11" spans="1:6">
      <c r="A11" s="5"/>
      <c r="B11" s="5"/>
      <c r="C11" s="5" t="s">
        <v>10</v>
      </c>
      <c r="D11" s="5" t="s">
        <v>11</v>
      </c>
      <c r="E11" s="5" t="s">
        <v>12</v>
      </c>
      <c r="F11" s="5" t="s">
        <v>13</v>
      </c>
    </row>
    <row r="12" spans="1:6">
      <c r="A12" s="5"/>
      <c r="B12" s="5" t="s">
        <v>5</v>
      </c>
      <c r="C12" s="5" t="s">
        <v>14</v>
      </c>
      <c r="D12" s="5" t="s">
        <v>15</v>
      </c>
      <c r="E12" s="5" t="s">
        <v>16</v>
      </c>
      <c r="F12" s="5" t="s">
        <v>16</v>
      </c>
    </row>
    <row r="13" spans="1:6">
      <c r="A13" s="4"/>
      <c r="B13" s="4" t="s">
        <v>17</v>
      </c>
      <c r="C13" s="4">
        <v>88.041666666666671</v>
      </c>
      <c r="D13" s="4">
        <v>0</v>
      </c>
      <c r="E13" s="4">
        <v>92.000000200000017</v>
      </c>
      <c r="F13" s="4">
        <v>31.99999992</v>
      </c>
    </row>
    <row r="14" spans="1:6">
      <c r="A14" s="4"/>
      <c r="B14" s="4" t="s">
        <v>18</v>
      </c>
      <c r="C14" s="4">
        <v>0</v>
      </c>
      <c r="D14" s="4">
        <v>-19.166666666666671</v>
      </c>
      <c r="E14" s="4">
        <v>44.166666666666671</v>
      </c>
      <c r="F14" s="4">
        <v>-1E+30</v>
      </c>
    </row>
    <row r="15" spans="1:6">
      <c r="A15" s="4"/>
      <c r="B15" s="4" t="s">
        <v>19</v>
      </c>
      <c r="C15" s="4">
        <v>263.47916666666663</v>
      </c>
      <c r="D15" s="4">
        <v>0</v>
      </c>
      <c r="E15" s="4">
        <v>115.00000016000001</v>
      </c>
      <c r="F15" s="4">
        <v>32.714285577142846</v>
      </c>
    </row>
    <row r="16" spans="1:6">
      <c r="A16" s="6"/>
      <c r="B16" s="6" t="s">
        <v>20</v>
      </c>
      <c r="C16" s="6">
        <v>4.8958333333333339</v>
      </c>
      <c r="D16" s="6">
        <v>0</v>
      </c>
      <c r="E16" s="6">
        <v>293.00000059999996</v>
      </c>
      <c r="F16" s="6">
        <v>12.199999919999998</v>
      </c>
    </row>
    <row r="18" spans="1:7">
      <c r="A18" s="8" t="s">
        <v>21</v>
      </c>
      <c r="B18" s="8"/>
      <c r="C18" s="8"/>
      <c r="D18" s="8"/>
      <c r="E18" s="8"/>
      <c r="F18" s="8"/>
      <c r="G18" s="8"/>
    </row>
    <row r="19" spans="1:7">
      <c r="A19" s="5"/>
      <c r="B19" s="5"/>
      <c r="C19" s="5" t="s">
        <v>10</v>
      </c>
      <c r="D19" s="5" t="s">
        <v>22</v>
      </c>
      <c r="E19" s="5" t="s">
        <v>23</v>
      </c>
      <c r="F19" s="5" t="s">
        <v>24</v>
      </c>
      <c r="G19" s="5" t="s">
        <v>24</v>
      </c>
    </row>
    <row r="20" spans="1:7">
      <c r="A20" s="5"/>
      <c r="B20" s="5" t="s">
        <v>5</v>
      </c>
      <c r="C20" s="5" t="s">
        <v>14</v>
      </c>
      <c r="D20" s="5" t="s">
        <v>25</v>
      </c>
      <c r="E20" s="5" t="s">
        <v>26</v>
      </c>
      <c r="F20" s="5" t="s">
        <v>27</v>
      </c>
      <c r="G20" s="5" t="s">
        <v>28</v>
      </c>
    </row>
    <row r="21" spans="1:7">
      <c r="A21" s="4"/>
      <c r="B21" s="4" t="s">
        <v>29</v>
      </c>
      <c r="C21" s="4">
        <v>990.99999999999989</v>
      </c>
      <c r="D21" s="4">
        <v>0</v>
      </c>
      <c r="E21" s="4">
        <v>1279</v>
      </c>
      <c r="F21" s="4">
        <v>1E+30</v>
      </c>
      <c r="G21" s="4">
        <v>287.99999999999977</v>
      </c>
    </row>
    <row r="22" spans="1:7">
      <c r="A22" s="4"/>
      <c r="B22" s="4" t="s">
        <v>30</v>
      </c>
      <c r="C22" s="4">
        <v>293.5</v>
      </c>
      <c r="D22" s="4">
        <v>0</v>
      </c>
      <c r="E22" s="4">
        <v>761</v>
      </c>
      <c r="F22" s="4">
        <v>1E+30</v>
      </c>
      <c r="G22" s="4">
        <v>467.49999999999994</v>
      </c>
    </row>
    <row r="23" spans="1:7">
      <c r="A23" s="4"/>
      <c r="B23" s="4" t="s">
        <v>31</v>
      </c>
      <c r="C23" s="4">
        <v>376</v>
      </c>
      <c r="D23" s="4">
        <v>2.666666666666667</v>
      </c>
      <c r="E23" s="4">
        <v>376</v>
      </c>
      <c r="F23" s="4">
        <v>287.99999999999977</v>
      </c>
      <c r="G23" s="4">
        <v>23.5</v>
      </c>
    </row>
    <row r="24" spans="1:7">
      <c r="A24" s="4"/>
      <c r="B24" s="4" t="s">
        <v>32</v>
      </c>
      <c r="C24" s="4">
        <v>1229.9999999999998</v>
      </c>
      <c r="D24" s="4">
        <v>11.166666666666666</v>
      </c>
      <c r="E24" s="4">
        <v>1230</v>
      </c>
      <c r="F24" s="4">
        <v>117.5</v>
      </c>
      <c r="G24" s="4">
        <v>903.35714285714289</v>
      </c>
    </row>
    <row r="25" spans="1:7">
      <c r="A25" s="6"/>
      <c r="B25" s="6" t="s">
        <v>33</v>
      </c>
      <c r="C25" s="6">
        <v>1065</v>
      </c>
      <c r="D25" s="6">
        <v>5.833333333333333</v>
      </c>
      <c r="E25" s="6">
        <v>1065</v>
      </c>
      <c r="F25" s="6">
        <v>235</v>
      </c>
      <c r="G25" s="6">
        <v>422.60000000000014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E533D-F260-4F4E-8937-87C847B0F7CA}">
  <dimension ref="A1:G30"/>
  <sheetViews>
    <sheetView workbookViewId="0"/>
  </sheetViews>
  <sheetFormatPr defaultRowHeight="12.75"/>
  <cols>
    <col min="7" max="7" width="12.42578125" bestFit="1" customWidth="1"/>
  </cols>
  <sheetData>
    <row r="1" spans="1:4">
      <c r="A1" s="3" t="s">
        <v>34</v>
      </c>
    </row>
    <row r="2" spans="1:4">
      <c r="A2" s="3" t="s">
        <v>35</v>
      </c>
    </row>
    <row r="3" spans="1:4">
      <c r="A3" s="3" t="s">
        <v>36</v>
      </c>
    </row>
    <row r="4" spans="1:4">
      <c r="A4" s="3" t="s">
        <v>37</v>
      </c>
    </row>
    <row r="5" spans="1:4">
      <c r="A5" s="3" t="s">
        <v>3</v>
      </c>
    </row>
    <row r="6" spans="1:4">
      <c r="A6" s="3" t="s">
        <v>38</v>
      </c>
    </row>
    <row r="7" spans="1:4">
      <c r="A7" s="3" t="s">
        <v>39</v>
      </c>
    </row>
    <row r="8" spans="1:4">
      <c r="A8" s="3" t="s">
        <v>40</v>
      </c>
    </row>
    <row r="9" spans="1:4">
      <c r="A9" s="3" t="s">
        <v>41</v>
      </c>
    </row>
    <row r="12" spans="1:4">
      <c r="A12" s="8" t="s">
        <v>4</v>
      </c>
      <c r="B12" s="8"/>
      <c r="C12" s="8"/>
      <c r="D12" s="8"/>
    </row>
    <row r="13" spans="1:4">
      <c r="A13" s="5"/>
      <c r="B13" s="5" t="s">
        <v>5</v>
      </c>
      <c r="C13" s="5" t="s">
        <v>6</v>
      </c>
      <c r="D13" s="5" t="s">
        <v>7</v>
      </c>
    </row>
    <row r="14" spans="1:4">
      <c r="A14" s="6"/>
      <c r="B14" s="7" t="s">
        <v>8</v>
      </c>
      <c r="C14" s="6">
        <v>20950.16666666669</v>
      </c>
      <c r="D14" s="6">
        <v>20950.166666666661</v>
      </c>
    </row>
    <row r="17" spans="1:7">
      <c r="A17" s="8" t="s">
        <v>9</v>
      </c>
      <c r="B17" s="8"/>
      <c r="C17" s="8"/>
      <c r="D17" s="8"/>
    </row>
    <row r="18" spans="1:7">
      <c r="A18" s="5"/>
      <c r="B18" s="5" t="s">
        <v>5</v>
      </c>
      <c r="C18" s="5" t="s">
        <v>6</v>
      </c>
      <c r="D18" s="5" t="s">
        <v>7</v>
      </c>
    </row>
    <row r="19" spans="1:7">
      <c r="A19" s="4"/>
      <c r="B19" s="4" t="s">
        <v>17</v>
      </c>
      <c r="C19" s="4">
        <v>88.0416666666667</v>
      </c>
      <c r="D19" s="4">
        <v>88.041666666666671</v>
      </c>
    </row>
    <row r="20" spans="1:7">
      <c r="A20" s="4"/>
      <c r="B20" s="4" t="s">
        <v>18</v>
      </c>
      <c r="C20" s="4">
        <v>0</v>
      </c>
      <c r="D20" s="4">
        <v>0</v>
      </c>
    </row>
    <row r="21" spans="1:7">
      <c r="A21" s="4"/>
      <c r="B21" s="4" t="s">
        <v>19</v>
      </c>
      <c r="C21" s="4">
        <v>263.47916666666703</v>
      </c>
      <c r="D21" s="4">
        <v>263.47916666666663</v>
      </c>
    </row>
    <row r="22" spans="1:7">
      <c r="A22" s="6"/>
      <c r="B22" s="6" t="s">
        <v>20</v>
      </c>
      <c r="C22" s="6">
        <v>4.8958333333333304</v>
      </c>
      <c r="D22" s="6">
        <v>4.8958333333333339</v>
      </c>
    </row>
    <row r="24" spans="1:7">
      <c r="A24" s="8" t="s">
        <v>21</v>
      </c>
      <c r="B24" s="8"/>
      <c r="C24" s="8"/>
      <c r="D24" s="8"/>
      <c r="E24" s="8"/>
      <c r="F24" s="8"/>
      <c r="G24" s="8"/>
    </row>
    <row r="25" spans="1:7">
      <c r="A25" s="5"/>
      <c r="B25" s="5" t="s">
        <v>5</v>
      </c>
      <c r="C25" s="5" t="s">
        <v>6</v>
      </c>
      <c r="D25" s="5" t="s">
        <v>7</v>
      </c>
      <c r="E25" s="5" t="s">
        <v>42</v>
      </c>
      <c r="F25" s="5" t="s">
        <v>43</v>
      </c>
      <c r="G25" s="5" t="s">
        <v>44</v>
      </c>
    </row>
    <row r="26" spans="1:7">
      <c r="A26" s="4"/>
      <c r="B26" s="4" t="s">
        <v>29</v>
      </c>
      <c r="C26" s="4">
        <v>991.00000000000114</v>
      </c>
      <c r="D26" s="4">
        <v>990.99999999999989</v>
      </c>
      <c r="E26" s="4">
        <v>-1E+30</v>
      </c>
      <c r="F26" s="4">
        <v>1279</v>
      </c>
      <c r="G26" s="4">
        <v>288.00000000000011</v>
      </c>
    </row>
    <row r="27" spans="1:7">
      <c r="A27" s="4"/>
      <c r="B27" s="4" t="s">
        <v>30</v>
      </c>
      <c r="C27" s="4">
        <v>293.50000000000011</v>
      </c>
      <c r="D27" s="4">
        <v>293.5</v>
      </c>
      <c r="E27" s="4">
        <v>-1E+30</v>
      </c>
      <c r="F27" s="4">
        <v>761</v>
      </c>
      <c r="G27" s="4">
        <v>467.5</v>
      </c>
    </row>
    <row r="28" spans="1:7">
      <c r="A28" s="4"/>
      <c r="B28" s="4" t="s">
        <v>31</v>
      </c>
      <c r="C28" s="4">
        <v>376.00000000000034</v>
      </c>
      <c r="D28" s="4">
        <v>376</v>
      </c>
      <c r="E28" s="4">
        <v>-1E+30</v>
      </c>
      <c r="F28" s="4">
        <v>376</v>
      </c>
      <c r="G28" s="4">
        <v>0</v>
      </c>
    </row>
    <row r="29" spans="1:7">
      <c r="A29" s="4"/>
      <c r="B29" s="4" t="s">
        <v>32</v>
      </c>
      <c r="C29" s="4">
        <v>1230.0000000000016</v>
      </c>
      <c r="D29" s="4">
        <v>1229.9999999999998</v>
      </c>
      <c r="E29" s="4">
        <v>-1E+30</v>
      </c>
      <c r="F29" s="4">
        <v>1230</v>
      </c>
      <c r="G29" s="4">
        <v>2.2737367544323206E-13</v>
      </c>
    </row>
    <row r="30" spans="1:7">
      <c r="A30" s="6"/>
      <c r="B30" s="6" t="s">
        <v>33</v>
      </c>
      <c r="C30" s="6">
        <v>1065.0000000000011</v>
      </c>
      <c r="D30" s="6">
        <v>1065</v>
      </c>
      <c r="E30" s="6">
        <v>-1E+30</v>
      </c>
      <c r="F30" s="6">
        <v>1065</v>
      </c>
      <c r="G30" s="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6:N20"/>
  <sheetViews>
    <sheetView topLeftCell="A4" zoomScaleNormal="100" workbookViewId="0">
      <selection activeCell="T15" sqref="T15"/>
    </sheetView>
  </sheetViews>
  <sheetFormatPr defaultColWidth="11.5703125" defaultRowHeight="12.75"/>
  <cols>
    <col min="2" max="2" width="15.140625" customWidth="1"/>
    <col min="3" max="3" width="14.28515625" customWidth="1"/>
    <col min="4" max="4" width="16.5703125" customWidth="1"/>
    <col min="5" max="5" width="15.28515625" customWidth="1"/>
  </cols>
  <sheetData>
    <row r="6" spans="2:14">
      <c r="B6" t="s">
        <v>45</v>
      </c>
      <c r="C6" t="s">
        <v>46</v>
      </c>
      <c r="D6" t="s">
        <v>47</v>
      </c>
      <c r="E6" t="s">
        <v>48</v>
      </c>
    </row>
    <row r="7" spans="2:14">
      <c r="B7">
        <v>88.041666666666671</v>
      </c>
      <c r="C7">
        <v>0</v>
      </c>
      <c r="D7">
        <v>263.47916666666663</v>
      </c>
      <c r="E7">
        <v>4.8958333333333339</v>
      </c>
    </row>
    <row r="10" spans="2:14">
      <c r="B10" s="1">
        <v>60</v>
      </c>
      <c r="C10" s="1">
        <v>25</v>
      </c>
      <c r="D10" s="1">
        <v>59</v>
      </c>
      <c r="E10" s="1">
        <v>25</v>
      </c>
      <c r="H10" s="1"/>
      <c r="I10" s="1"/>
      <c r="J10" s="1"/>
      <c r="K10" s="1"/>
      <c r="L10" s="1"/>
      <c r="M10" s="1"/>
    </row>
    <row r="11" spans="2:14">
      <c r="H11" s="1"/>
      <c r="I11" s="1"/>
      <c r="J11" s="1"/>
      <c r="K11" s="1"/>
      <c r="M11" s="1"/>
    </row>
    <row r="12" spans="2:14" ht="25.5">
      <c r="B12" s="2">
        <f>SUMPRODUCT(B7:E7, B10:E10)</f>
        <v>20950.166666666661</v>
      </c>
      <c r="G12" s="2" t="s">
        <v>49</v>
      </c>
      <c r="H12" s="1">
        <v>2</v>
      </c>
      <c r="I12" s="1">
        <v>1</v>
      </c>
      <c r="J12" s="1">
        <v>3</v>
      </c>
      <c r="K12" s="1">
        <v>5</v>
      </c>
      <c r="L12" s="2">
        <f>SUMPRODUCT($B$7:$E$7, H12:K12)</f>
        <v>990.99999999999989</v>
      </c>
      <c r="M12" s="1" t="s">
        <v>50</v>
      </c>
      <c r="N12" s="1">
        <v>1279</v>
      </c>
    </row>
    <row r="13" spans="2:14" ht="23.85">
      <c r="G13" s="2" t="s">
        <v>51</v>
      </c>
      <c r="H13" s="1">
        <v>3</v>
      </c>
      <c r="I13" s="1">
        <v>1</v>
      </c>
      <c r="J13" s="1">
        <v>0</v>
      </c>
      <c r="K13" s="1">
        <v>6</v>
      </c>
      <c r="L13" s="2">
        <f>SUMPRODUCT($B$7:$E$7, H13:K13)</f>
        <v>293.5</v>
      </c>
      <c r="M13" s="1" t="s">
        <v>50</v>
      </c>
      <c r="N13" s="1">
        <v>761</v>
      </c>
    </row>
    <row r="14" spans="2:14">
      <c r="G14" s="2" t="s">
        <v>52</v>
      </c>
      <c r="H14" s="1">
        <v>1</v>
      </c>
      <c r="I14" s="1">
        <v>6</v>
      </c>
      <c r="J14" s="1">
        <v>1</v>
      </c>
      <c r="K14" s="1">
        <v>5</v>
      </c>
      <c r="L14" s="2">
        <f>SUMPRODUCT($B$7:$E$7, H14:K14)</f>
        <v>376</v>
      </c>
      <c r="M14" s="1" t="s">
        <v>50</v>
      </c>
      <c r="N14" s="1">
        <v>376</v>
      </c>
    </row>
    <row r="15" spans="2:14" ht="23.85">
      <c r="G15" s="2" t="s">
        <v>53</v>
      </c>
      <c r="H15" s="1">
        <v>2</v>
      </c>
      <c r="I15" s="1">
        <v>2</v>
      </c>
      <c r="J15" s="1">
        <v>4</v>
      </c>
      <c r="K15" s="1">
        <v>0</v>
      </c>
      <c r="L15" s="2">
        <f>SUMPRODUCT($B$7:$E$7, H15:K15)</f>
        <v>1229.9999999999998</v>
      </c>
      <c r="M15" s="1" t="s">
        <v>50</v>
      </c>
      <c r="N15" s="1">
        <v>1230</v>
      </c>
    </row>
    <row r="16" spans="2:14" ht="35.1">
      <c r="G16" s="2" t="s">
        <v>54</v>
      </c>
      <c r="H16" s="1">
        <v>6</v>
      </c>
      <c r="I16" s="1">
        <v>1</v>
      </c>
      <c r="J16" s="1">
        <v>2</v>
      </c>
      <c r="K16" s="1">
        <v>2</v>
      </c>
      <c r="L16" s="2">
        <f>SUMPRODUCT($B$7:$E$7, H16:K16)</f>
        <v>1065</v>
      </c>
      <c r="M16" s="1" t="s">
        <v>50</v>
      </c>
      <c r="N16" s="1">
        <v>1065</v>
      </c>
    </row>
    <row r="17" spans="8:13">
      <c r="H17" s="1"/>
      <c r="I17" s="1"/>
      <c r="J17" s="1"/>
      <c r="K17" s="1"/>
      <c r="L17" s="1"/>
      <c r="M17" s="1"/>
    </row>
    <row r="18" spans="8:13">
      <c r="L18" s="1"/>
      <c r="M18" s="1"/>
    </row>
    <row r="19" spans="8:13">
      <c r="H19" s="1"/>
      <c r="I19" s="1"/>
      <c r="J19" s="1"/>
      <c r="K19" s="1"/>
      <c r="L19" s="1"/>
      <c r="M19" s="1"/>
    </row>
    <row r="20" spans="8:13">
      <c r="H20" s="1"/>
      <c r="I20" s="1"/>
      <c r="J20" s="1"/>
      <c r="K20" s="1"/>
      <c r="L20" s="1"/>
      <c r="M20" s="1"/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2026-10-01T19:46:21Z</dcterms:created>
  <dcterms:modified xsi:type="dcterms:W3CDTF">2026-10-01T17:21:09Z</dcterms:modified>
  <cp:category/>
  <cp:contentStatus/>
</cp:coreProperties>
</file>